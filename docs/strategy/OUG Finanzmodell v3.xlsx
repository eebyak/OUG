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i Säulen" sheetId="1" state="visible" r:id="rId1"/>
    <sheet xmlns:r="http://schemas.openxmlformats.org/officeDocument/2006/relationships" name="Zusammenfassung" sheetId="2" state="visible" r:id="rId2"/>
    <sheet xmlns:r="http://schemas.openxmlformats.org/officeDocument/2006/relationships" name="Projektion" sheetId="3" state="visible" r:id="rId3"/>
    <sheet xmlns:r="http://schemas.openxmlformats.org/officeDocument/2006/relationships" name="Szenar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€#,##0;(€#,##0);-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1A1A1A"/>
      <sz val="10"/>
    </font>
    <font>
      <name val="Arial"/>
      <color rgb="001A1A1A"/>
      <sz val="9.5"/>
    </font>
    <font>
      <name val="Arial"/>
      <color rgb="00555555"/>
      <sz val="10"/>
    </font>
    <font>
      <name val="Arial"/>
      <sz val="9.5"/>
    </font>
    <font>
      <name val="Arial"/>
      <i val="1"/>
      <color rgb="00AA3300"/>
      <sz val="9.5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1F3864"/>
      <sz val="10"/>
    </font>
    <font>
      <name val="Arial"/>
      <color rgb="001A1A1A"/>
      <sz val="10"/>
    </font>
    <font>
      <name val="Arial"/>
      <b val="1"/>
      <color rgb="001A3A5C"/>
      <sz val="10"/>
    </font>
    <font>
      <name val="Arial"/>
      <b val="1"/>
      <color rgb="005C3A00"/>
      <sz val="10"/>
    </font>
    <font>
      <name val="Arial"/>
      <b val="1"/>
      <color rgb="002D4A1E"/>
      <sz val="10"/>
    </font>
    <font>
      <name val="Arial"/>
      <b val="1"/>
      <color rgb="001A5C38"/>
      <sz val="10"/>
    </font>
    <font>
      <name val="Arial"/>
      <b val="1"/>
      <color rgb="00C0392B"/>
      <sz val="10"/>
    </font>
    <font>
      <name val="Arial"/>
      <b val="1"/>
      <color rgb="00FFFFFF"/>
      <sz val="13"/>
    </font>
    <font>
      <name val="Arial"/>
      <b val="1"/>
      <color rgb="002E75B6"/>
      <sz val="10"/>
    </font>
    <font>
      <name val="Arial"/>
      <b val="1"/>
      <color rgb="001A3A5C"/>
      <sz val="9.5"/>
    </font>
    <font>
      <name val="Arial"/>
      <b val="1"/>
      <color rgb="005C3A00"/>
      <sz val="9.5"/>
    </font>
    <font>
      <name val="Arial"/>
      <b val="1"/>
      <color rgb="002D4A1E"/>
      <sz val="9.5"/>
    </font>
  </fonts>
  <fills count="19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1A3A5C"/>
      </patternFill>
    </fill>
    <fill>
      <patternFill patternType="solid">
        <fgColor rgb="005C3A00"/>
      </patternFill>
    </fill>
    <fill>
      <patternFill patternType="solid">
        <fgColor rgb="002D4A1E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DF6EC"/>
      </patternFill>
    </fill>
    <fill>
      <patternFill patternType="solid">
        <fgColor rgb="00EEF5EE"/>
      </patternFill>
    </fill>
    <fill>
      <patternFill patternType="solid">
        <fgColor rgb="00F7F9FC"/>
      </patternFill>
    </fill>
    <fill>
      <patternFill patternType="solid">
        <fgColor rgb="00FFF8EE"/>
      </patternFill>
    </fill>
    <fill>
      <patternFill patternType="solid">
        <fgColor rgb="00D6E4F5"/>
      </patternFill>
    </fill>
    <fill>
      <patternFill patternType="solid">
        <fgColor rgb="00FDEBD0"/>
      </patternFill>
    </fill>
    <fill>
      <patternFill patternType="solid">
        <fgColor rgb="00D5E8D4"/>
      </patternFill>
    </fill>
    <fill>
      <patternFill patternType="solid">
        <fgColor rgb="001A5C38"/>
      </patternFill>
    </fill>
    <fill>
      <patternFill patternType="solid">
        <fgColor rgb="007A4A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vertical="top" wrapText="1"/>
    </xf>
    <xf numFmtId="0" fontId="3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vertical="top" wrapText="1"/>
    </xf>
    <xf numFmtId="0" fontId="19" fillId="2" borderId="0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2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left" vertical="center"/>
    </xf>
    <xf numFmtId="0" fontId="22" fillId="12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0" fontId="14" fillId="14" borderId="1" applyAlignment="1" pivotButton="0" quotePrefix="0" xfId="0">
      <alignment horizontal="left" vertical="center"/>
    </xf>
    <xf numFmtId="165" fontId="13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right" vertical="center"/>
    </xf>
    <xf numFmtId="0" fontId="5" fillId="14" borderId="1" applyAlignment="1" pivotButton="0" quotePrefix="0" xfId="0">
      <alignment horizontal="left" vertical="center"/>
    </xf>
    <xf numFmtId="165" fontId="5" fillId="14" borderId="1" applyAlignment="1" pivotButton="0" quotePrefix="0" xfId="0">
      <alignment horizontal="right" vertical="center"/>
    </xf>
    <xf numFmtId="0" fontId="1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165" fontId="5" fillId="15" borderId="1" applyAlignment="1" pivotButton="0" quotePrefix="0" xfId="0">
      <alignment horizontal="right" vertical="center"/>
    </xf>
    <xf numFmtId="0" fontId="16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165" fontId="5" fillId="16" borderId="1" applyAlignment="1" pivotButton="0" quotePrefix="0" xfId="0">
      <alignment horizontal="right" vertical="center"/>
    </xf>
    <xf numFmtId="165" fontId="17" fillId="0" borderId="1" applyAlignment="1" pivotButton="0" quotePrefix="0" xfId="0">
      <alignment horizontal="right" vertical="center"/>
    </xf>
    <xf numFmtId="165" fontId="18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right" vertical="center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E8F5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8" customWidth="1" min="5" max="5"/>
  </cols>
  <sheetData>
    <row r="1" ht="32" customHeight="1">
      <c r="A1" s="1" t="inlineStr">
        <is>
          <t>OPEN UNIVERSITY OF GERMANY — FINANZIERUNGSMODELL v3.0</t>
        </is>
      </c>
    </row>
    <row r="2">
      <c r="A2" s="2" t="inlineStr">
        <is>
          <t>Die neue Dualität: Öffentliche Hand · Studierende · Industrie als institutionelle Mitfinanzierer</t>
        </is>
      </c>
    </row>
    <row r="4">
      <c r="A4" s="3" t="inlineStr">
        <is>
          <t>DAS DREI-SÄULEN-MODELL — KONZEPT UND BEGRÜNDUNG</t>
        </is>
      </c>
      <c r="B4" s="4" t="n"/>
      <c r="C4" s="4" t="n"/>
      <c r="D4" s="4" t="n"/>
      <c r="E4" s="5" t="n"/>
    </row>
    <row r="5" ht="52" customHeight="1">
      <c r="A5" s="6" t="inlineStr">
        <is>
          <t>Die OUG ist als öffentliche Hochschule konzipiert — mit einer Finanzierungsarchitektur, die strukturell dem dualen System nachempfunden ist, aber auf Hochschulebene operiert. Drei Säulen tragen die Institution gemeinsam. Keine allein reicht aus, und das ist kein Konstruktionsfehler — es ist institutionelle Absicht.</t>
        </is>
      </c>
    </row>
    <row r="7">
      <c r="A7" s="7" t="inlineStr">
        <is>
          <t>Parameter</t>
        </is>
      </c>
      <c r="B7" s="8" t="inlineStr">
        <is>
          <t>SÄULE 1
Öffentliche Hand</t>
        </is>
      </c>
      <c r="C7" s="9" t="inlineStr">
        <is>
          <t>SÄULE 2
Studiengebühren</t>
        </is>
      </c>
      <c r="D7" s="10" t="inlineStr">
        <is>
          <t>SÄULE 3
Industrie</t>
        </is>
      </c>
      <c r="E7" s="7" t="inlineStr">
        <is>
          <t>Begründung</t>
        </is>
      </c>
    </row>
    <row r="8" ht="44" customHeight="1">
      <c r="A8" s="11" t="inlineStr">
        <is>
          <t>Instrument</t>
        </is>
      </c>
      <c r="B8" s="12" t="inlineStr">
        <is>
          <t>Hochschulfinanzierungsvertrag
+ BMBF/EU-Förderung</t>
        </is>
      </c>
      <c r="C8" s="13" t="inlineStr">
        <is>
          <t>€25/ECTS (Abschluss)
€40/ECTS (Mikro)</t>
        </is>
      </c>
      <c r="D8" s="14" t="inlineStr">
        <is>
          <t>Institutionelle Mitgliedschaft
gegen Governance-Rechte</t>
        </is>
      </c>
      <c r="E8" s="15" t="inlineStr"/>
    </row>
    <row r="9" ht="44" customHeight="1">
      <c r="A9" s="16" t="inlineStr">
        <is>
          <t>Logik</t>
        </is>
      </c>
      <c r="B9" s="17" t="inlineStr">
        <is>
          <t>Öffentliche Hochschulen haben strukturellen
Anspruch auf Grundmittel</t>
        </is>
      </c>
      <c r="C9" s="17" t="inlineStr">
        <is>
          <t>Sozialmodell — 1/6 bis 1/10
des Marktpreises privater Anbieter</t>
        </is>
      </c>
      <c r="D9" s="17" t="inlineStr">
        <is>
          <t>Neue Dualität: Unternehmen tragen
Bildungsverantwortung institutionell</t>
        </is>
      </c>
      <c r="E9" s="18" t="inlineStr"/>
    </row>
    <row r="10" ht="44" customHeight="1">
      <c r="A10" s="11" t="inlineStr">
        <is>
          <t>Governance-Recht</t>
        </is>
      </c>
      <c r="B10" s="12" t="inlineStr">
        <is>
          <t>Ministerium: Zielvereinbarung
Land: Aufsicht</t>
        </is>
      </c>
      <c r="C10" s="13" t="inlineStr">
        <is>
          <t>Senat: Studierendenvertreter
Programmausschüsse</t>
        </is>
      </c>
      <c r="D10" s="14" t="inlineStr">
        <is>
          <t>Senatssitz · Programmausschuss
Fakultätsbeirat</t>
        </is>
      </c>
      <c r="E10" s="15" t="inlineStr">
        <is>
          <t>Industrie kauft keinen Einfluss — sie
übernimmt strukturelle Mitverantwortung</t>
        </is>
      </c>
    </row>
    <row r="11" ht="44" customHeight="1">
      <c r="A11" s="16" t="inlineStr">
        <is>
          <t>Schutz akad. Freiheit</t>
        </is>
      </c>
      <c r="B11" s="17" t="inlineStr">
        <is>
          <t>Grundgesetz Art. 5
LHG-Konformität</t>
        </is>
      </c>
      <c r="C11" s="17" t="inlineStr">
        <is>
          <t>Prüfungsordnung · G3 Governance
(unabhängig von Exekutive)</t>
        </is>
      </c>
      <c r="D11" s="17" t="inlineStr">
        <is>
          <t>Akademische Standards liegen
bei G3 — nicht verhandelbar</t>
        </is>
      </c>
      <c r="E11" s="18" t="inlineStr">
        <is>
          <t>Industriebeteiligung endet, wo
akademische Entscheidungen beginnen</t>
        </is>
      </c>
    </row>
    <row r="12" ht="44" customHeight="1">
      <c r="A12" s="11" t="inlineStr">
        <is>
          <t>Volumen Jahr 1</t>
        </is>
      </c>
      <c r="B12" s="12" t="inlineStr">
        <is>
          <t>€500k BMBF + €300k EU
= €800k</t>
        </is>
      </c>
      <c r="C12" s="13" t="inlineStr">
        <is>
          <t>~€281k
(300 Stud. × 30 ECTS × €25
+ Mikro)</t>
        </is>
      </c>
      <c r="D12" s="14" t="inlineStr">
        <is>
          <t>€240k
(3 × Senatssitz €80k)</t>
        </is>
      </c>
      <c r="E12" s="15" t="inlineStr">
        <is>
          <t>Gesamt Jahr 1: ~€1,56M
vs. Ausgaben ~€1,90M</t>
        </is>
      </c>
    </row>
    <row r="13" ht="44" customHeight="1">
      <c r="A13" s="16" t="inlineStr">
        <is>
          <t>Volumen Jahr 5</t>
        </is>
      </c>
      <c r="B13" s="17" t="inlineStr">
        <is>
          <t>HFV €1,16M + EU €300k
= €1,46M</t>
        </is>
      </c>
      <c r="C13" s="17" t="inlineStr">
        <is>
          <t>~€573k
(Abschluss + Mikro)</t>
        </is>
      </c>
      <c r="D13" s="17" t="inlineStr">
        <is>
          <t>~€620k
(Vollausbau Gremien + Forschung)</t>
        </is>
      </c>
      <c r="E13" s="18" t="inlineStr">
        <is>
          <t>Gesamt Jahr 5: ~€2,65M
vs. Ausgaben ~€2,10M → Break-even ✓</t>
        </is>
      </c>
    </row>
    <row r="14" ht="44" customHeight="1">
      <c r="A14" s="11" t="inlineStr">
        <is>
          <t>Langfristige Entwicklung</t>
        </is>
      </c>
      <c r="B14" s="12" t="inlineStr">
        <is>
          <t>Wächst mit Studierendenzahl
(€2.000/Kopf ab Vollvertrag)</t>
        </is>
      </c>
      <c r="C14" s="13" t="inlineStr">
        <is>
          <t>Wächst mit Einschreibungen
(Deckelung sozial gewollt)</t>
        </is>
      </c>
      <c r="D14" s="14" t="inlineStr">
        <is>
          <t>Wächst mit OUG-Reputation
und Forschungspartnerschaften</t>
        </is>
      </c>
      <c r="E14" s="15" t="inlineStr">
        <is>
          <t>Alle drei Säulen skalieren —
aber in unterschiedlichen Kurven</t>
        </is>
      </c>
    </row>
    <row r="16">
      <c r="A16" s="19" t="inlineStr">
        <is>
          <t>HOCHSCHULFINANZIERUNGSVERTRAG — WIE ER FUNKTIONIERT</t>
        </is>
      </c>
      <c r="B16" s="4" t="n"/>
      <c r="C16" s="4" t="n"/>
      <c r="D16" s="4" t="n"/>
      <c r="E16" s="5" t="n"/>
    </row>
    <row r="17" ht="52" customHeight="1">
      <c r="A17" s="20" t="inlineStr">
        <is>
          <t>Was es ist:</t>
        </is>
      </c>
      <c r="B17" s="21" t="inlineStr">
        <is>
          <t>Ein mehrjähriger Vertrag zwischen Land und Hochschule, der Grundmittelzuweisungen an Leistungsindikatoren knüpft. Standard in BW, Bayern, NRW. Für neue öffentliche Hochschulen: Aufnahmevertrag nach Akkreditierung + Studierendennachweis.</t>
        </is>
      </c>
    </row>
    <row r="18" ht="52" customHeight="1">
      <c r="A18" s="20" t="inlineStr">
        <is>
          <t>Wann es greift:</t>
        </is>
      </c>
      <c r="B18" s="21" t="inlineStr">
        <is>
          <t>Nach erfolgreicher Systemakkreditierung und Nachweis einer stabilen Einschreibungskohorte. Realistische Erwartung für OUG: Jahr 3 (Pilotvertrag, €800k Sockelbetrag), Jahr 4 (Vollvertrag, €1,2M), ab Jahr 5 pro-Kopf-Skalierung (€2.000/Studierenden).</t>
        </is>
      </c>
    </row>
    <row r="19" ht="52" customHeight="1">
      <c r="A19" s="20" t="inlineStr">
        <is>
          <t>Warum es einen Anspruch gibt:</t>
        </is>
      </c>
      <c r="B19" s="21" t="inlineStr">
        <is>
          <t>Als staatlich anerkannte Hochschule erbringt die OUG eine öffentliche Leistung. Das Land hätte diese Studierenden sonst in teure private Fernhochschulen verloren — oder gar nicht erreicht. Der HFV ist keine Subvention, sondern Gegenleistung für eine öffentliche Bildungsaufgabe.</t>
        </is>
      </c>
    </row>
    <row r="20" ht="52" customHeight="1">
      <c r="A20" s="20" t="inlineStr">
        <is>
          <t>Zielvereinbarungsindikatoren:</t>
        </is>
      </c>
      <c r="B20" s="21" t="inlineStr">
        <is>
          <t>Einschreibungszahlen · Abschlussquoten · Studienzufriedenheit · Partnerschaftsnetzwerk · Qualitätssicherungsnachweise · Forschungsoutput</t>
        </is>
      </c>
    </row>
    <row r="22">
      <c r="A22" s="22" t="inlineStr">
        <is>
          <t>INDUSTRIEBETEILIGUNG — DIE NEUE DUALITÄT</t>
        </is>
      </c>
      <c r="B22" s="4" t="n"/>
      <c r="C22" s="4" t="n"/>
      <c r="D22" s="4" t="n"/>
      <c r="E22" s="5" t="n"/>
    </row>
    <row r="23">
      <c r="A23" s="7" t="inlineStr">
        <is>
          <t>Governance-Recht</t>
        </is>
      </c>
      <c r="B23" s="7" t="inlineStr">
        <is>
          <t>Jährl. Beitrag</t>
        </is>
      </c>
      <c r="C23" s="7" t="inlineStr">
        <is>
          <t>Max. Mitglieder</t>
        </is>
      </c>
      <c r="D23" s="7" t="inlineStr">
        <is>
          <t>Gremium</t>
        </is>
      </c>
      <c r="E23" s="7" t="inlineStr">
        <is>
          <t>Erläuterung</t>
        </is>
      </c>
    </row>
    <row r="24">
      <c r="A24" s="11" t="inlineStr">
        <is>
          <t>Senatssitz mit Stimmrecht</t>
        </is>
      </c>
      <c r="B24" s="23" t="inlineStr">
        <is>
          <t>€80.000</t>
        </is>
      </c>
      <c r="C24" s="23" t="inlineStr">
        <is>
          <t>3</t>
        </is>
      </c>
      <c r="D24" s="24" t="inlineStr">
        <is>
          <t>Senat</t>
        </is>
      </c>
      <c r="E24" s="24" t="inlineStr">
        <is>
          <t>Vollmitgliedschaft; strategische Mitbestimmung</t>
        </is>
      </c>
    </row>
    <row r="25">
      <c r="A25" s="16" t="inlineStr">
        <is>
          <t>Programmausschuss-Mitgliedschaft</t>
        </is>
      </c>
      <c r="B25" s="25" t="inlineStr">
        <is>
          <t>€30.000</t>
        </is>
      </c>
      <c r="C25" s="25" t="inlineStr">
        <is>
          <t>5</t>
        </is>
      </c>
      <c r="D25" s="26" t="inlineStr">
        <is>
          <t>Fachausschüsse</t>
        </is>
      </c>
      <c r="E25" s="26" t="inlineStr">
        <is>
          <t>Curriculumsbeirat; kein Vetorecht akad. Fragen</t>
        </is>
      </c>
    </row>
    <row r="26">
      <c r="A26" s="11" t="inlineStr">
        <is>
          <t>Fakultätsbeirat</t>
        </is>
      </c>
      <c r="B26" s="23" t="inlineStr">
        <is>
          <t>€20.000</t>
        </is>
      </c>
      <c r="C26" s="23" t="inlineStr">
        <is>
          <t>8</t>
        </is>
      </c>
      <c r="D26" s="24" t="inlineStr">
        <is>
          <t>Fakultätsbeiräte</t>
        </is>
      </c>
      <c r="E26" s="24" t="inlineStr">
        <is>
          <t>Beratend; Praxisanbindung, keine Abstimmungsrechte</t>
        </is>
      </c>
    </row>
    <row r="27">
      <c r="A27" s="16" t="inlineStr">
        <is>
          <t>Corporate Learning Partnership</t>
        </is>
      </c>
      <c r="B27" s="25" t="inlineStr">
        <is>
          <t>variabel</t>
        </is>
      </c>
      <c r="C27" s="25" t="inlineStr">
        <is>
          <t>∞</t>
        </is>
      </c>
      <c r="D27" s="26" t="inlineStr">
        <is>
          <t>Kein Gremium</t>
        </is>
      </c>
      <c r="E27" s="26" t="inlineStr">
        <is>
          <t>Maßgeschneiderte Programme; keine Governance-Rechte</t>
        </is>
      </c>
    </row>
    <row r="28" ht="44" customHeight="1">
      <c r="A28" s="27" t="inlineStr">
        <is>
          <t>SCHUTZPRINZIP: Akademische Standards werden ausschließlich durch G3 (Akademische Governance) entschieden. Industriemitglieder in Senat und Ausschüssen haben kein Stimmrecht über Prüfungsordnungen, Zulassungsvoraussetzungen oder Abschlussvergabe. Das ist konstitutionell verankert — nicht verhandelbar.</t>
        </is>
      </c>
    </row>
  </sheetData>
  <mergeCells count="12">
    <mergeCell ref="B17:E17"/>
    <mergeCell ref="B18:E18"/>
    <mergeCell ref="A4:E4"/>
    <mergeCell ref="A2:E2"/>
    <mergeCell ref="A16:E16"/>
    <mergeCell ref="A28:E28"/>
    <mergeCell ref="A7"/>
    <mergeCell ref="A1:E1"/>
    <mergeCell ref="A5:E5"/>
    <mergeCell ref="B19:E19"/>
    <mergeCell ref="B20:E20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</cols>
  <sheetData>
    <row r="1" ht="28" customHeight="1">
      <c r="A1" s="28" t="inlineStr">
        <is>
          <t>ZUSAMMENFASSUNG — OUG Finanzmodell v3.0</t>
        </is>
      </c>
    </row>
    <row r="3">
      <c r="A3" s="29" t="inlineStr">
        <is>
          <t>SCHLÜSSELZAHLEN (Realistisches Szenario)</t>
        </is>
      </c>
      <c r="B3" s="4" t="n"/>
      <c r="C3" s="5" t="n"/>
    </row>
    <row r="4">
      <c r="A4" s="7" t="inlineStr">
        <is>
          <t>Kennzahl</t>
        </is>
      </c>
      <c r="B4" s="7" t="inlineStr">
        <is>
          <t>Wert</t>
        </is>
      </c>
      <c r="C4" s="7" t="inlineStr">
        <is>
          <t>Kontext</t>
        </is>
      </c>
    </row>
    <row r="5">
      <c r="A5" s="11" t="inlineStr">
        <is>
          <t>Gesamtkapitalbedarf</t>
        </is>
      </c>
      <c r="B5" s="30" t="inlineStr">
        <is>
          <t>~€6M</t>
        </is>
      </c>
      <c r="C5" s="31" t="inlineStr">
        <is>
          <t>CAPEX €4M + Anlauf ~€2M (durch HFV früher gedeckt)</t>
        </is>
      </c>
    </row>
    <row r="6">
      <c r="A6" s="16" t="inlineStr">
        <is>
          <t>Operativer Break-even</t>
        </is>
      </c>
      <c r="B6" s="32" t="inlineStr">
        <is>
          <t>Jahr 4–5</t>
        </is>
      </c>
      <c r="C6" s="33" t="inlineStr">
        <is>
          <t>Einnahmen &gt; laufende Kosten</t>
        </is>
      </c>
    </row>
    <row r="7">
      <c r="A7" s="11" t="inlineStr">
        <is>
          <t>HFV-Pilotvertrag</t>
        </is>
      </c>
      <c r="B7" s="30" t="inlineStr">
        <is>
          <t>Ab Jahr 3</t>
        </is>
      </c>
      <c r="C7" s="31" t="inlineStr">
        <is>
          <t>~€800k Sockelbetrag nach Akkreditierung</t>
        </is>
      </c>
    </row>
    <row r="8">
      <c r="A8" s="16" t="inlineStr">
        <is>
          <t>HFV Vollfinanzierung ab Jahr 5</t>
        </is>
      </c>
      <c r="B8" s="32" t="inlineStr">
        <is>
          <t>~€1,16M/J</t>
        </is>
      </c>
      <c r="C8" s="33" t="inlineStr">
        <is>
          <t>€2.000 × Studierendenzahl, skalierend</t>
        </is>
      </c>
    </row>
    <row r="9">
      <c r="A9" s="11" t="inlineStr">
        <is>
          <t>Industrie Governance-Erträge J5</t>
        </is>
      </c>
      <c r="B9" s="30" t="inlineStr">
        <is>
          <t>~€620k</t>
        </is>
      </c>
      <c r="C9" s="31" t="inlineStr">
        <is>
          <t>Vollausbau Senat + Ausschüsse + Forschung</t>
        </is>
      </c>
    </row>
    <row r="10">
      <c r="A10" s="16" t="inlineStr">
        <is>
          <t>Preis Studium (Bachelor 180 ECTS)</t>
        </is>
      </c>
      <c r="B10" s="32" t="inlineStr">
        <is>
          <t>€4.500</t>
        </is>
      </c>
      <c r="C10" s="33" t="inlineStr">
        <is>
          <t>IU Fernuni: €14.000–20.000</t>
        </is>
      </c>
    </row>
    <row r="11">
      <c r="A11" s="11" t="inlineStr">
        <is>
          <t>Kosten/Studierender bei Scale</t>
        </is>
      </c>
      <c r="B11" s="30" t="inlineStr">
        <is>
          <t>~€2.200/J</t>
        </is>
      </c>
      <c r="C11" s="31" t="inlineStr">
        <is>
          <t>vs. €8–10k öffentl. Hochschule</t>
        </is>
      </c>
    </row>
    <row r="12">
      <c r="A12" s="16" t="inlineStr">
        <is>
          <t>Partnervergütung kumuliert 10 J</t>
        </is>
      </c>
      <c r="B12" s="32" t="inlineStr">
        <is>
          <t>~€3,5M</t>
        </is>
      </c>
      <c r="C12" s="33" t="inlineStr">
        <is>
          <t>Real zurück an lehrende Hochschulen</t>
        </is>
      </c>
    </row>
    <row r="13">
      <c r="A13" s="11" t="inlineStr">
        <is>
          <t>Studierende Jahr 5</t>
        </is>
      </c>
      <c r="B13" s="30" t="inlineStr">
        <is>
          <t>~582</t>
        </is>
      </c>
      <c r="C13" s="31" t="inlineStr">
        <is>
          <t>Abschluss; +488 Mikro = 1.070 gesamt</t>
        </is>
      </c>
    </row>
    <row r="14">
      <c r="A14" s="16" t="inlineStr">
        <is>
          <t>Studierende Jahr 10</t>
        </is>
      </c>
      <c r="B14" s="32" t="inlineStr">
        <is>
          <t>~1.331</t>
        </is>
      </c>
      <c r="C14" s="33" t="inlineStr">
        <is>
          <t>Abschluss; +1.490 Mikro = 2.821 gesamt</t>
        </is>
      </c>
    </row>
    <row r="16">
      <c r="A16" s="29" t="inlineStr">
        <is>
          <t>FINANZIERUNGSQUELLEN — DREI SÄULEN IM ÜBERBLICK</t>
        </is>
      </c>
      <c r="B16" s="4" t="n"/>
      <c r="C16" s="5" t="n"/>
    </row>
    <row r="17">
      <c r="A17" s="7" t="inlineStr">
        <is>
          <t>Quelle / Säule</t>
        </is>
      </c>
      <c r="B17" s="7" t="inlineStr">
        <is>
          <t>Volumen / Timing</t>
        </is>
      </c>
      <c r="C17" s="7" t="inlineStr">
        <is>
          <t>Besonderheit</t>
        </is>
      </c>
    </row>
    <row r="18">
      <c r="A18" s="34" t="inlineStr">
        <is>
          <t>ÖFFENTLICH — Gründungsfinanzierung</t>
        </is>
      </c>
      <c r="B18" s="35" t="inlineStr">
        <is>
          <t>€2M einmalig (J0)</t>
        </is>
      </c>
      <c r="C18" s="31" t="inlineStr">
        <is>
          <t>Stiftung / Philanthrop</t>
        </is>
      </c>
    </row>
    <row r="19">
      <c r="A19" s="36" t="inlineStr">
        <is>
          <t>ÖFFENTLICH — BMBF</t>
        </is>
      </c>
      <c r="B19" s="37" t="inlineStr">
        <is>
          <t>€500k/J × 4 (J1–4)</t>
        </is>
      </c>
      <c r="C19" s="33" t="inlineStr">
        <is>
          <t>Innovationsprogramm Hochschule</t>
        </is>
      </c>
    </row>
    <row r="20">
      <c r="A20" s="34" t="inlineStr">
        <is>
          <t>ÖFFENTLICH — EU-Mittel</t>
        </is>
      </c>
      <c r="B20" s="35" t="inlineStr">
        <is>
          <t>€300k/J × 5 (J1–5)</t>
        </is>
      </c>
      <c r="C20" s="31" t="inlineStr">
        <is>
          <t>Erasmus+, DIGITAL Europe</t>
        </is>
      </c>
    </row>
    <row r="21">
      <c r="A21" s="36" t="inlineStr">
        <is>
          <t>ÖFFENTLICH — HFV Pilot</t>
        </is>
      </c>
      <c r="B21" s="37" t="inlineStr">
        <is>
          <t>€800k (J3)</t>
        </is>
      </c>
      <c r="C21" s="33" t="inlineStr">
        <is>
          <t>Nach Akkreditierung + Studierendennachweis</t>
        </is>
      </c>
    </row>
    <row r="22">
      <c r="A22" s="34" t="inlineStr">
        <is>
          <t>ÖFFENTLICH — HFV Vollfinanzierung</t>
        </is>
      </c>
      <c r="B22" s="35" t="inlineStr">
        <is>
          <t>€2.000/Stud. ab J4</t>
        </is>
      </c>
      <c r="C22" s="31" t="inlineStr">
        <is>
          <t>Zielvereinbarung; skaliert mit Wachstum</t>
        </is>
      </c>
    </row>
    <row r="23">
      <c r="A23" s="38" t="inlineStr">
        <is>
          <t>STUDIERENDE — Abschluss</t>
        </is>
      </c>
      <c r="B23" s="39" t="inlineStr">
        <is>
          <t>€25/ECTS (wächst)</t>
        </is>
      </c>
      <c r="C23" s="33" t="inlineStr">
        <is>
          <t>Sozialmodell; 1/4 des Marktpreises</t>
        </is>
      </c>
    </row>
    <row r="24">
      <c r="A24" s="40" t="inlineStr">
        <is>
          <t>STUDIERENDE — Mikro-Credentials</t>
        </is>
      </c>
      <c r="B24" s="41" t="inlineStr">
        <is>
          <t>€40/ECTS (wächst)</t>
        </is>
      </c>
      <c r="C24" s="31" t="inlineStr">
        <is>
          <t>Corporate Learning; höhere Zahlungsbereitschaft</t>
        </is>
      </c>
    </row>
    <row r="25">
      <c r="A25" s="42" t="inlineStr">
        <is>
          <t>INDUSTRIE — Senatssitze</t>
        </is>
      </c>
      <c r="B25" s="43" t="inlineStr">
        <is>
          <t>€80k/Sitz × max. 3</t>
        </is>
      </c>
      <c r="C25" s="33" t="inlineStr">
        <is>
          <t>Governance-Recht; keine akad. Entscheidungen</t>
        </is>
      </c>
    </row>
    <row r="26">
      <c r="A26" s="44" t="inlineStr">
        <is>
          <t>INDUSTRIE — Programmausschüsse</t>
        </is>
      </c>
      <c r="B26" s="45" t="inlineStr">
        <is>
          <t>€30k × max. 5</t>
        </is>
      </c>
      <c r="C26" s="31" t="inlineStr">
        <is>
          <t>Curriculumsbeirat; beratend</t>
        </is>
      </c>
    </row>
    <row r="27">
      <c r="A27" s="42" t="inlineStr">
        <is>
          <t>INDUSTRIE — Forschung/Corp. Learning</t>
        </is>
      </c>
      <c r="B27" s="43" t="inlineStr">
        <is>
          <t>€75k–300k (ab J3)</t>
        </is>
      </c>
      <c r="C27" s="33" t="inlineStr">
        <is>
          <t>Wächst mit OUG-Reputation</t>
        </is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46" t="inlineStr">
        <is>
          <t>OUG FINANZMODELL v3.0 — 10-JAHRES-PROJEKTION (Realistisches Szenario)</t>
        </is>
      </c>
    </row>
    <row r="2">
      <c r="A2" s="47" t="inlineStr">
        <is>
          <t>Drei Säulen: Öffentlich (HFV+BMBF+EU) · Studiengebühren (€25/ECTS) · Industrie (Governance-Mitgliedschaft)  ·  Break-even operativ: Jahr 4–5</t>
        </is>
      </c>
    </row>
    <row r="3">
      <c r="A3" s="48" t="inlineStr"/>
      <c r="B3" s="48" t="inlineStr">
        <is>
          <t>J 0
Aufbau</t>
        </is>
      </c>
      <c r="C3" s="7" t="inlineStr">
        <is>
          <t>J 1
Launch</t>
        </is>
      </c>
      <c r="D3" s="7" t="inlineStr">
        <is>
          <t>J 2
Wachstum</t>
        </is>
      </c>
      <c r="E3" s="7" t="inlineStr">
        <is>
          <t>J 3
HFV-Pilot</t>
        </is>
      </c>
      <c r="F3" s="7" t="inlineStr">
        <is>
          <t>J 4
Vollvertrag</t>
        </is>
      </c>
      <c r="G3" s="48" t="inlineStr">
        <is>
          <t>J 5
Break-even</t>
        </is>
      </c>
      <c r="H3" s="7" t="inlineStr">
        <is>
          <t>J 6
Konsolidierung</t>
        </is>
      </c>
      <c r="I3" s="7" t="inlineStr">
        <is>
          <t>J 7
Skalierung</t>
        </is>
      </c>
      <c r="J3" s="7" t="inlineStr">
        <is>
          <t>J 8
Reife</t>
        </is>
      </c>
      <c r="K3" s="7" t="inlineStr">
        <is>
          <t>J 9
Reife</t>
        </is>
      </c>
      <c r="L3" s="7" t="inlineStr">
        <is>
          <t>J 10
Reife</t>
        </is>
      </c>
    </row>
    <row r="4">
      <c r="A4" s="29" t="inlineStr">
        <is>
          <t>STUDIERENDE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>
      <c r="A5" s="49" t="inlineStr">
        <is>
          <t>Abschluss-Studierende</t>
        </is>
      </c>
      <c r="B5" s="50" t="n">
        <v>0</v>
      </c>
      <c r="C5" s="50" t="n">
        <v>300</v>
      </c>
      <c r="D5" s="50" t="n">
        <v>354</v>
      </c>
      <c r="E5" s="50" t="n">
        <v>418</v>
      </c>
      <c r="F5" s="50" t="n">
        <v>493</v>
      </c>
      <c r="G5" s="50" t="n">
        <v>582</v>
      </c>
      <c r="H5" s="50" t="n">
        <v>686</v>
      </c>
      <c r="I5" s="50" t="n">
        <v>810</v>
      </c>
      <c r="J5" s="50" t="n">
        <v>956</v>
      </c>
      <c r="K5" s="50" t="n">
        <v>1128</v>
      </c>
      <c r="L5" s="50" t="n">
        <v>1331</v>
      </c>
    </row>
    <row r="6">
      <c r="A6" s="51" t="inlineStr">
        <is>
          <t>Mikro-Credential-Lernende</t>
        </is>
      </c>
      <c r="B6" s="52" t="n">
        <v>0</v>
      </c>
      <c r="C6" s="52" t="n">
        <v>200</v>
      </c>
      <c r="D6" s="52" t="n">
        <v>250</v>
      </c>
      <c r="E6" s="52" t="n">
        <v>312</v>
      </c>
      <c r="F6" s="52" t="n">
        <v>391</v>
      </c>
      <c r="G6" s="52" t="n">
        <v>488</v>
      </c>
      <c r="H6" s="52" t="n">
        <v>610</v>
      </c>
      <c r="I6" s="52" t="n">
        <v>763</v>
      </c>
      <c r="J6" s="52" t="n">
        <v>954</v>
      </c>
      <c r="K6" s="52" t="n">
        <v>1192</v>
      </c>
      <c r="L6" s="52" t="n">
        <v>1490</v>
      </c>
    </row>
    <row r="7">
      <c r="A7" s="53" t="inlineStr">
        <is>
          <t>SÄULE 1 — ÖFFENTLICHE FINANZIERUNG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8">
      <c r="A8" s="51" t="inlineStr">
        <is>
          <t xml:space="preserve">    Gründungsfinanzierung (Stiftung)</t>
        </is>
      </c>
      <c r="B8" s="54" t="n">
        <v>2000000</v>
      </c>
      <c r="C8" s="54" t="n">
        <v>0</v>
      </c>
      <c r="D8" s="54" t="n">
        <v>0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0</v>
      </c>
      <c r="J8" s="54" t="n">
        <v>0</v>
      </c>
      <c r="K8" s="54" t="n">
        <v>0</v>
      </c>
      <c r="L8" s="54" t="n">
        <v>0</v>
      </c>
    </row>
    <row r="9">
      <c r="A9" s="51" t="inlineStr">
        <is>
          <t xml:space="preserve">    BMBF Projektförderung</t>
        </is>
      </c>
      <c r="B9" s="54" t="n">
        <v>0</v>
      </c>
      <c r="C9" s="54" t="n">
        <v>500000</v>
      </c>
      <c r="D9" s="54" t="n">
        <v>500000</v>
      </c>
      <c r="E9" s="54" t="n">
        <v>500000</v>
      </c>
      <c r="F9" s="54" t="n">
        <v>500000</v>
      </c>
      <c r="G9" s="54" t="n">
        <v>0</v>
      </c>
      <c r="H9" s="54" t="n">
        <v>0</v>
      </c>
      <c r="I9" s="54" t="n">
        <v>0</v>
      </c>
      <c r="J9" s="54" t="n">
        <v>0</v>
      </c>
      <c r="K9" s="54" t="n">
        <v>0</v>
      </c>
      <c r="L9" s="54" t="n">
        <v>0</v>
      </c>
    </row>
    <row r="10">
      <c r="A10" s="51" t="inlineStr">
        <is>
          <t xml:space="preserve">    EU-Mittel (Erasmus+/DIGITAL)</t>
        </is>
      </c>
      <c r="B10" s="54" t="n">
        <v>0</v>
      </c>
      <c r="C10" s="54" t="n">
        <v>300000</v>
      </c>
      <c r="D10" s="54" t="n">
        <v>300000</v>
      </c>
      <c r="E10" s="54" t="n">
        <v>300000</v>
      </c>
      <c r="F10" s="54" t="n">
        <v>300000</v>
      </c>
      <c r="G10" s="54" t="n">
        <v>300000</v>
      </c>
      <c r="H10" s="54" t="n">
        <v>0</v>
      </c>
      <c r="I10" s="54" t="n">
        <v>0</v>
      </c>
      <c r="J10" s="54" t="n">
        <v>0</v>
      </c>
      <c r="K10" s="54" t="n">
        <v>0</v>
      </c>
      <c r="L10" s="54" t="n">
        <v>0</v>
      </c>
    </row>
    <row r="11">
      <c r="A11" s="49" t="inlineStr">
        <is>
          <t xml:space="preserve">    Hochschulfinanzierungsvertrag (HFV)</t>
        </is>
      </c>
      <c r="B11" s="55" t="n">
        <v>0</v>
      </c>
      <c r="C11" s="55" t="n">
        <v>0</v>
      </c>
      <c r="D11" s="55" t="n">
        <v>0</v>
      </c>
      <c r="E11" s="55" t="n">
        <v>800000</v>
      </c>
      <c r="F11" s="55" t="n">
        <v>1200000</v>
      </c>
      <c r="G11" s="55" t="n">
        <v>1164000</v>
      </c>
      <c r="H11" s="55" t="n">
        <v>1372000</v>
      </c>
      <c r="I11" s="55" t="n">
        <v>1620000</v>
      </c>
      <c r="J11" s="55" t="n">
        <v>1912000</v>
      </c>
      <c r="K11" s="55" t="n">
        <v>2256000</v>
      </c>
      <c r="L11" s="55" t="n">
        <v>2662000</v>
      </c>
    </row>
    <row r="12">
      <c r="A12" s="56" t="inlineStr">
        <is>
          <t>GESAMT Öffentlich</t>
        </is>
      </c>
      <c r="B12" s="57" t="n">
        <v>2000000</v>
      </c>
      <c r="C12" s="57" t="n">
        <v>800000</v>
      </c>
      <c r="D12" s="57" t="n">
        <v>800000</v>
      </c>
      <c r="E12" s="57" t="n">
        <v>1600000</v>
      </c>
      <c r="F12" s="57" t="n">
        <v>2000000</v>
      </c>
      <c r="G12" s="57" t="n">
        <v>1464000</v>
      </c>
      <c r="H12" s="57" t="n">
        <v>1372000</v>
      </c>
      <c r="I12" s="57" t="n">
        <v>1620000</v>
      </c>
      <c r="J12" s="57" t="n">
        <v>1912000</v>
      </c>
      <c r="K12" s="57" t="n">
        <v>2256000</v>
      </c>
      <c r="L12" s="57" t="n">
        <v>2662000</v>
      </c>
    </row>
    <row r="13">
      <c r="A13" s="58" t="inlineStr">
        <is>
          <t>SÄULE 2 — STUDIENGEBÜHREN (€25/ECTS)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>
      <c r="A14" s="51" t="inlineStr">
        <is>
          <t xml:space="preserve">    Studiengebühren Abschluss</t>
        </is>
      </c>
      <c r="B14" s="54" t="n">
        <v>0</v>
      </c>
      <c r="C14" s="54" t="n">
        <v>225000</v>
      </c>
      <c r="D14" s="54" t="n">
        <v>265500</v>
      </c>
      <c r="E14" s="54" t="n">
        <v>313500</v>
      </c>
      <c r="F14" s="54" t="n">
        <v>369750</v>
      </c>
      <c r="G14" s="54" t="n">
        <v>436500</v>
      </c>
      <c r="H14" s="54" t="n">
        <v>514500</v>
      </c>
      <c r="I14" s="54" t="n">
        <v>607500</v>
      </c>
      <c r="J14" s="54" t="n">
        <v>717000</v>
      </c>
      <c r="K14" s="54" t="n">
        <v>846000</v>
      </c>
      <c r="L14" s="54" t="n">
        <v>998250</v>
      </c>
    </row>
    <row r="15">
      <c r="A15" s="51" t="inlineStr">
        <is>
          <t xml:space="preserve">    Studiengebühren Mikro</t>
        </is>
      </c>
      <c r="B15" s="54" t="n">
        <v>0</v>
      </c>
      <c r="C15" s="54" t="n">
        <v>56000</v>
      </c>
      <c r="D15" s="54" t="n">
        <v>70000</v>
      </c>
      <c r="E15" s="54" t="n">
        <v>87360</v>
      </c>
      <c r="F15" s="54" t="n">
        <v>109480</v>
      </c>
      <c r="G15" s="54" t="n">
        <v>136640</v>
      </c>
      <c r="H15" s="54" t="n">
        <v>170800</v>
      </c>
      <c r="I15" s="54" t="n">
        <v>213640</v>
      </c>
      <c r="J15" s="54" t="n">
        <v>267120</v>
      </c>
      <c r="K15" s="54" t="n">
        <v>333760</v>
      </c>
      <c r="L15" s="54" t="n">
        <v>417200</v>
      </c>
    </row>
    <row r="16">
      <c r="A16" s="59" t="inlineStr">
        <is>
          <t>GESAMT Studiengebühren</t>
        </is>
      </c>
      <c r="B16" s="60" t="n">
        <v>0</v>
      </c>
      <c r="C16" s="60" t="n">
        <v>281000</v>
      </c>
      <c r="D16" s="60" t="n">
        <v>335500</v>
      </c>
      <c r="E16" s="60" t="n">
        <v>400860</v>
      </c>
      <c r="F16" s="60" t="n">
        <v>479230</v>
      </c>
      <c r="G16" s="60" t="n">
        <v>573140</v>
      </c>
      <c r="H16" s="60" t="n">
        <v>685300</v>
      </c>
      <c r="I16" s="60" t="n">
        <v>821140</v>
      </c>
      <c r="J16" s="60" t="n">
        <v>984120</v>
      </c>
      <c r="K16" s="60" t="n">
        <v>1179760</v>
      </c>
      <c r="L16" s="60" t="n">
        <v>1415450</v>
      </c>
    </row>
    <row r="17">
      <c r="A17" s="61" t="inlineStr">
        <is>
          <t>SÄULE 3 — INDUSTRIE (NEUE DUALITÄT)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>
      <c r="A18" s="51" t="inlineStr">
        <is>
          <t xml:space="preserve">    Institutionelle Mitgliedsbeiträge
(Senat + Ausschüsse)</t>
        </is>
      </c>
      <c r="B18" s="54" t="n">
        <v>0</v>
      </c>
      <c r="C18" s="54" t="n">
        <v>80000</v>
      </c>
      <c r="D18" s="54" t="n">
        <v>190000</v>
      </c>
      <c r="E18" s="54" t="n">
        <v>320000</v>
      </c>
      <c r="F18" s="54" t="n">
        <v>370000</v>
      </c>
      <c r="G18" s="54" t="n">
        <v>420000</v>
      </c>
      <c r="H18" s="54" t="n">
        <v>470000</v>
      </c>
      <c r="I18" s="54" t="n">
        <v>490000</v>
      </c>
      <c r="J18" s="54" t="n">
        <v>510000</v>
      </c>
      <c r="K18" s="54" t="n">
        <v>530000</v>
      </c>
      <c r="L18" s="54" t="n">
        <v>550000</v>
      </c>
    </row>
    <row r="19">
      <c r="A19" s="51" t="inlineStr">
        <is>
          <t xml:space="preserve">    Corporate Learning &amp; Auftragsforschung</t>
        </is>
      </c>
      <c r="B19" s="54" t="n">
        <v>0</v>
      </c>
      <c r="C19" s="54" t="n">
        <v>0</v>
      </c>
      <c r="D19" s="54" t="n">
        <v>0</v>
      </c>
      <c r="E19" s="54" t="n">
        <v>75000</v>
      </c>
      <c r="F19" s="54" t="n">
        <v>150000</v>
      </c>
      <c r="G19" s="54" t="n">
        <v>225000</v>
      </c>
      <c r="H19" s="54" t="n">
        <v>300000</v>
      </c>
      <c r="I19" s="54" t="n">
        <v>300000</v>
      </c>
      <c r="J19" s="54" t="n">
        <v>300000</v>
      </c>
      <c r="K19" s="54" t="n">
        <v>300000</v>
      </c>
      <c r="L19" s="54" t="n">
        <v>300000</v>
      </c>
    </row>
    <row r="20">
      <c r="A20" s="62" t="inlineStr">
        <is>
          <t>GESAMT Industrie</t>
        </is>
      </c>
      <c r="B20" s="63" t="n">
        <v>0</v>
      </c>
      <c r="C20" s="63" t="n">
        <v>80000</v>
      </c>
      <c r="D20" s="63" t="n">
        <v>190000</v>
      </c>
      <c r="E20" s="63" t="n">
        <v>395000</v>
      </c>
      <c r="F20" s="63" t="n">
        <v>520000</v>
      </c>
      <c r="G20" s="63" t="n">
        <v>645000</v>
      </c>
      <c r="H20" s="63" t="n">
        <v>770000</v>
      </c>
      <c r="I20" s="63" t="n">
        <v>790000</v>
      </c>
      <c r="J20" s="63" t="n">
        <v>810000</v>
      </c>
      <c r="K20" s="63" t="n">
        <v>830000</v>
      </c>
      <c r="L20" s="63" t="n">
        <v>850000</v>
      </c>
    </row>
    <row r="21">
      <c r="A21" s="56" t="inlineStr">
        <is>
          <t>GESAMTEINNAHMEN</t>
        </is>
      </c>
      <c r="B21" s="57" t="n">
        <v>2000000</v>
      </c>
      <c r="C21" s="57" t="n">
        <v>1161000</v>
      </c>
      <c r="D21" s="57" t="n">
        <v>1325500</v>
      </c>
      <c r="E21" s="57" t="n">
        <v>2395860</v>
      </c>
      <c r="F21" s="57" t="n">
        <v>2999230</v>
      </c>
      <c r="G21" s="57" t="n">
        <v>2682140</v>
      </c>
      <c r="H21" s="57" t="n">
        <v>2827300</v>
      </c>
      <c r="I21" s="57" t="n">
        <v>3231140</v>
      </c>
      <c r="J21" s="57" t="n">
        <v>3706120</v>
      </c>
      <c r="K21" s="57" t="n">
        <v>4265760</v>
      </c>
      <c r="L21" s="57" t="n">
        <v>4927450</v>
      </c>
    </row>
    <row r="22">
      <c r="A22" s="29" t="inlineStr">
        <is>
          <t>AUSGABEN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>
      <c r="A23" s="51" t="inlineStr">
        <is>
          <t xml:space="preserve">    Partnervergütung (60% Studiengebühr)</t>
        </is>
      </c>
      <c r="B23" s="54" t="n">
        <v>0</v>
      </c>
      <c r="C23" s="54" t="n">
        <v>135000</v>
      </c>
      <c r="D23" s="54" t="n">
        <v>159300</v>
      </c>
      <c r="E23" s="54" t="n">
        <v>188100</v>
      </c>
      <c r="F23" s="54" t="n">
        <v>221850</v>
      </c>
      <c r="G23" s="54" t="n">
        <v>261900</v>
      </c>
      <c r="H23" s="54" t="n">
        <v>308700</v>
      </c>
      <c r="I23" s="54" t="n">
        <v>364500</v>
      </c>
      <c r="J23" s="54" t="n">
        <v>430200</v>
      </c>
      <c r="K23" s="54" t="n">
        <v>507600</v>
      </c>
      <c r="L23" s="54" t="n">
        <v>598950</v>
      </c>
    </row>
    <row r="24">
      <c r="A24" s="51" t="inlineStr">
        <is>
          <t xml:space="preserve">    Personalkosten</t>
        </is>
      </c>
      <c r="B24" s="54" t="n">
        <v>500000</v>
      </c>
      <c r="C24" s="54" t="n">
        <v>765000</v>
      </c>
      <c r="D24" s="54" t="n">
        <v>765000</v>
      </c>
      <c r="E24" s="54" t="n">
        <v>765000</v>
      </c>
      <c r="F24" s="54" t="n">
        <v>945000</v>
      </c>
      <c r="G24" s="54" t="n">
        <v>945000</v>
      </c>
      <c r="H24" s="54" t="n">
        <v>945000</v>
      </c>
      <c r="I24" s="54" t="n">
        <v>1145000</v>
      </c>
      <c r="J24" s="54" t="n">
        <v>1145000</v>
      </c>
      <c r="K24" s="54" t="n">
        <v>1145000</v>
      </c>
      <c r="L24" s="54" t="n">
        <v>1145000</v>
      </c>
    </row>
    <row r="25">
      <c r="A25" s="51" t="inlineStr">
        <is>
          <t xml:space="preserve">    Betriebskosten (OPEX)</t>
        </is>
      </c>
      <c r="B25" s="54" t="n">
        <v>200000</v>
      </c>
      <c r="C25" s="54" t="n">
        <v>715000</v>
      </c>
      <c r="D25" s="54" t="n">
        <v>715000</v>
      </c>
      <c r="E25" s="54" t="n">
        <v>715000</v>
      </c>
      <c r="F25" s="54" t="n">
        <v>715000</v>
      </c>
      <c r="G25" s="54" t="n">
        <v>715000</v>
      </c>
      <c r="H25" s="54" t="n">
        <v>715000</v>
      </c>
      <c r="I25" s="54" t="n">
        <v>765000</v>
      </c>
      <c r="J25" s="54" t="n">
        <v>765000</v>
      </c>
      <c r="K25" s="54" t="n">
        <v>765000</v>
      </c>
      <c r="L25" s="54" t="n">
        <v>815000</v>
      </c>
    </row>
    <row r="26">
      <c r="A26" s="51" t="inlineStr">
        <is>
          <t xml:space="preserve">    Marketing</t>
        </is>
      </c>
      <c r="B26" s="54" t="n">
        <v>150000</v>
      </c>
      <c r="C26" s="54" t="n">
        <v>280000</v>
      </c>
      <c r="D26" s="54" t="n">
        <v>350000</v>
      </c>
      <c r="E26" s="54" t="n">
        <v>300000</v>
      </c>
      <c r="F26" s="54" t="n">
        <v>200000</v>
      </c>
      <c r="G26" s="54" t="n">
        <v>180000</v>
      </c>
      <c r="H26" s="54" t="n">
        <v>150000</v>
      </c>
      <c r="I26" s="54" t="n">
        <v>150000</v>
      </c>
      <c r="J26" s="54" t="n">
        <v>150000</v>
      </c>
      <c r="K26" s="54" t="n">
        <v>150000</v>
      </c>
      <c r="L26" s="54" t="n">
        <v>150000</v>
      </c>
    </row>
    <row r="27">
      <c r="A27" s="56" t="inlineStr">
        <is>
          <t>GESAMTAUSGABEN (operativ)</t>
        </is>
      </c>
      <c r="B27" s="57" t="n">
        <v>850000</v>
      </c>
      <c r="C27" s="57" t="n">
        <v>1895000</v>
      </c>
      <c r="D27" s="57" t="n">
        <v>1989300</v>
      </c>
      <c r="E27" s="57" t="n">
        <v>1968100</v>
      </c>
      <c r="F27" s="57" t="n">
        <v>2081850</v>
      </c>
      <c r="G27" s="57" t="n">
        <v>2101900</v>
      </c>
      <c r="H27" s="57" t="n">
        <v>2118700</v>
      </c>
      <c r="I27" s="57" t="n">
        <v>2424500</v>
      </c>
      <c r="J27" s="57" t="n">
        <v>2490200</v>
      </c>
      <c r="K27" s="57" t="n">
        <v>2567600</v>
      </c>
      <c r="L27" s="57" t="n">
        <v>2708950</v>
      </c>
    </row>
    <row r="28">
      <c r="A28" s="3" t="inlineStr">
        <is>
          <t>ERGEBNISSE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>
      <c r="A29" s="49" t="inlineStr">
        <is>
          <t>Operatives Ergebnis</t>
        </is>
      </c>
      <c r="B29" s="64" t="n">
        <v>1150000</v>
      </c>
      <c r="C29" s="65" t="n">
        <v>-734000</v>
      </c>
      <c r="D29" s="65" t="n">
        <v>-663800</v>
      </c>
      <c r="E29" s="64" t="n">
        <v>427760</v>
      </c>
      <c r="F29" s="64" t="n">
        <v>917380</v>
      </c>
      <c r="G29" s="64" t="n">
        <v>580240</v>
      </c>
      <c r="H29" s="64" t="n">
        <v>708600</v>
      </c>
      <c r="I29" s="64" t="n">
        <v>806640</v>
      </c>
      <c r="J29" s="64" t="n">
        <v>1215920</v>
      </c>
      <c r="K29" s="64" t="n">
        <v>1698160</v>
      </c>
      <c r="L29" s="64" t="n">
        <v>2218500</v>
      </c>
    </row>
    <row r="30">
      <c r="A30" s="51" t="inlineStr">
        <is>
          <t xml:space="preserve">    CAPEX-Investitionen</t>
        </is>
      </c>
      <c r="B30" s="54" t="n">
        <v>2000000</v>
      </c>
      <c r="C30" s="54" t="n">
        <v>2000000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4" t="n">
        <v>0</v>
      </c>
    </row>
    <row r="31">
      <c r="A31" s="51" t="inlineStr">
        <is>
          <t xml:space="preserve">    Abschreibung CAPEX</t>
        </is>
      </c>
      <c r="B31" s="54" t="n">
        <v>0</v>
      </c>
      <c r="C31" s="54" t="n">
        <v>800000</v>
      </c>
      <c r="D31" s="54" t="n">
        <v>800000</v>
      </c>
      <c r="E31" s="54" t="n">
        <v>800000</v>
      </c>
      <c r="F31" s="54" t="n">
        <v>800000</v>
      </c>
      <c r="G31" s="54" t="n">
        <v>800000</v>
      </c>
      <c r="H31" s="54" t="n">
        <v>800000</v>
      </c>
      <c r="I31" s="54" t="n">
        <v>800000</v>
      </c>
      <c r="J31" s="54" t="n">
        <v>800000</v>
      </c>
      <c r="K31" s="54" t="n">
        <v>800000</v>
      </c>
      <c r="L31" s="54" t="n">
        <v>800000</v>
      </c>
    </row>
    <row r="32">
      <c r="A32" s="49" t="inlineStr">
        <is>
          <t>Jahres-Cashflow</t>
        </is>
      </c>
      <c r="B32" s="65" t="n">
        <v>-850000</v>
      </c>
      <c r="C32" s="65" t="n">
        <v>-2734000</v>
      </c>
      <c r="D32" s="65" t="n">
        <v>-663800</v>
      </c>
      <c r="E32" s="66" t="n">
        <v>427760</v>
      </c>
      <c r="F32" s="66" t="n">
        <v>917380</v>
      </c>
      <c r="G32" s="66" t="n">
        <v>580240</v>
      </c>
      <c r="H32" s="66" t="n">
        <v>708600</v>
      </c>
      <c r="I32" s="66" t="n">
        <v>806640</v>
      </c>
      <c r="J32" s="66" t="n">
        <v>1215920</v>
      </c>
      <c r="K32" s="66" t="n">
        <v>1698160</v>
      </c>
      <c r="L32" s="66" t="n">
        <v>2218500</v>
      </c>
    </row>
    <row r="33">
      <c r="A33" s="56" t="inlineStr">
        <is>
          <t>Kumulativer Cashflow</t>
        </is>
      </c>
      <c r="B33" s="67" t="n">
        <v>-850000</v>
      </c>
      <c r="C33" s="67" t="n">
        <v>-3584000</v>
      </c>
      <c r="D33" s="67" t="n">
        <v>-4247800</v>
      </c>
      <c r="E33" s="67" t="n">
        <v>-3820040</v>
      </c>
      <c r="F33" s="67" t="n">
        <v>-2902660</v>
      </c>
      <c r="G33" s="67" t="n">
        <v>-2322420</v>
      </c>
      <c r="H33" s="67" t="n">
        <v>-1613820</v>
      </c>
      <c r="I33" s="67" t="n">
        <v>-807180</v>
      </c>
      <c r="J33" s="57" t="n">
        <v>408740</v>
      </c>
      <c r="K33" s="57" t="n">
        <v>2106900</v>
      </c>
      <c r="L33" s="57" t="n">
        <v>4325400</v>
      </c>
    </row>
  </sheetData>
  <mergeCells count="8">
    <mergeCell ref="A2:L2"/>
    <mergeCell ref="A7:L7"/>
    <mergeCell ref="A1:L1"/>
    <mergeCell ref="A28:L28"/>
    <mergeCell ref="A13:L13"/>
    <mergeCell ref="A22:L22"/>
    <mergeCell ref="A17:L17"/>
    <mergeCell ref="A4:L4"/>
  </mergeCells>
  <conditionalFormatting sqref="B4:L33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6" customHeight="1">
      <c r="A1" s="46" t="inlineStr">
        <is>
          <t>SZENARIO-VERGLEICH — OUG Finanzmodell v3.0</t>
        </is>
      </c>
    </row>
    <row r="3">
      <c r="A3" s="7" t="inlineStr">
        <is>
          <t>Kennzahl</t>
        </is>
      </c>
      <c r="B3" s="68" t="inlineStr">
        <is>
          <t>Konservativ</t>
        </is>
      </c>
      <c r="C3" s="7" t="inlineStr">
        <is>
          <t>Realistisch</t>
        </is>
      </c>
      <c r="D3" s="69" t="inlineStr">
        <is>
          <t>Optimistisch</t>
        </is>
      </c>
      <c r="E3" s="7" t="inlineStr">
        <is>
          <t>Erläuterung</t>
        </is>
      </c>
    </row>
    <row r="4">
      <c r="A4" s="11" t="inlineStr">
        <is>
          <t>Wachstum Studium p.a.</t>
        </is>
      </c>
      <c r="B4" s="70" t="inlineStr">
        <is>
          <t>12%</t>
        </is>
      </c>
      <c r="C4" s="71" t="inlineStr">
        <is>
          <t>18%</t>
        </is>
      </c>
      <c r="D4" s="70" t="inlineStr">
        <is>
          <t>25%</t>
        </is>
      </c>
      <c r="E4" s="31" t="inlineStr">
        <is>
          <t>Nettowachstum aktiver Studierender</t>
        </is>
      </c>
    </row>
    <row r="5">
      <c r="A5" s="16" t="inlineStr">
        <is>
          <t>Studierende Jahr 1 (Abschluss)</t>
        </is>
      </c>
      <c r="B5" s="72" t="inlineStr">
        <is>
          <t>200</t>
        </is>
      </c>
      <c r="C5" s="73" t="inlineStr">
        <is>
          <t>300</t>
        </is>
      </c>
      <c r="D5" s="72" t="inlineStr">
        <is>
          <t>500</t>
        </is>
      </c>
      <c r="E5" s="33" t="inlineStr">
        <is>
          <t>Mit bestehendem Partnernetzwerk</t>
        </is>
      </c>
    </row>
    <row r="6">
      <c r="A6" s="11" t="inlineStr">
        <is>
          <t>Preis/ECTS Abschluss</t>
        </is>
      </c>
      <c r="B6" s="70" t="inlineStr">
        <is>
          <t>€20</t>
        </is>
      </c>
      <c r="C6" s="71" t="inlineStr">
        <is>
          <t>€25</t>
        </is>
      </c>
      <c r="D6" s="70" t="inlineStr">
        <is>
          <t>€30</t>
        </is>
      </c>
      <c r="E6" s="31" t="inlineStr">
        <is>
          <t>IU Fernhochschule: ~€100+/ECTS</t>
        </is>
      </c>
    </row>
    <row r="7">
      <c r="A7" s="16" t="inlineStr">
        <is>
          <t>HFV Pilotvertrag</t>
        </is>
      </c>
      <c r="B7" s="72" t="inlineStr">
        <is>
          <t>Jahr 4</t>
        </is>
      </c>
      <c r="C7" s="73" t="inlineStr">
        <is>
          <t>Jahr 3</t>
        </is>
      </c>
      <c r="D7" s="72" t="inlineStr">
        <is>
          <t>Jahr 3</t>
        </is>
      </c>
      <c r="E7" s="33" t="inlineStr">
        <is>
          <t>Nach Akkreditierung + Studierendennachweis</t>
        </is>
      </c>
    </row>
    <row r="8">
      <c r="A8" s="11" t="inlineStr">
        <is>
          <t>HFV Sockelbetrag (Pilot)</t>
        </is>
      </c>
      <c r="B8" s="70" t="inlineStr">
        <is>
          <t>€500k</t>
        </is>
      </c>
      <c r="C8" s="71" t="inlineStr">
        <is>
          <t>€800k</t>
        </is>
      </c>
      <c r="D8" s="70" t="inlineStr">
        <is>
          <t>€1,0M</t>
        </is>
      </c>
      <c r="E8" s="31" t="inlineStr">
        <is>
          <t>Abhängig von politischer Priorisierung</t>
        </is>
      </c>
    </row>
    <row r="9">
      <c r="A9" s="16" t="inlineStr">
        <is>
          <t>Industrie Governance-Erträge Jahr 3</t>
        </is>
      </c>
      <c r="B9" s="72" t="inlineStr">
        <is>
          <t>€180k</t>
        </is>
      </c>
      <c r="C9" s="73" t="inlineStr">
        <is>
          <t>€390k</t>
        </is>
      </c>
      <c r="D9" s="72" t="inlineStr">
        <is>
          <t>€600k</t>
        </is>
      </c>
      <c r="E9" s="33" t="inlineStr">
        <is>
          <t>3-5 Unternehmen im Vollausbau</t>
        </is>
      </c>
    </row>
    <row r="10">
      <c r="A10" s="11" t="inlineStr">
        <is>
          <t>Operativer Break-even</t>
        </is>
      </c>
      <c r="B10" s="70" t="inlineStr">
        <is>
          <t>Jahr 5-6</t>
        </is>
      </c>
      <c r="C10" s="71" t="inlineStr">
        <is>
          <t>Jahr 4-5</t>
        </is>
      </c>
      <c r="D10" s="70" t="inlineStr">
        <is>
          <t>Jahr 3-4</t>
        </is>
      </c>
      <c r="E10" s="31" t="inlineStr">
        <is>
          <t>Einnahmen decken laufende Kosten</t>
        </is>
      </c>
    </row>
    <row r="11">
      <c r="A11" s="16" t="inlineStr">
        <is>
          <t>Kumulativer Kapitalbedarf</t>
        </is>
      </c>
      <c r="B11" s="72" t="inlineStr">
        <is>
          <t>~€9M</t>
        </is>
      </c>
      <c r="C11" s="73" t="inlineStr">
        <is>
          <t>~€6M</t>
        </is>
      </c>
      <c r="D11" s="72" t="inlineStr">
        <is>
          <t>~€4M</t>
        </is>
      </c>
      <c r="E11" s="33" t="inlineStr">
        <is>
          <t>Bis zur Selbsttragung</t>
        </is>
      </c>
    </row>
    <row r="12">
      <c r="A12" s="11" t="inlineStr">
        <is>
          <t>Kosten pro Studierenden/J</t>
        </is>
      </c>
      <c r="B12" s="70" t="inlineStr">
        <is>
          <t>~€2.500</t>
        </is>
      </c>
      <c r="C12" s="71" t="inlineStr">
        <is>
          <t>~€2.200</t>
        </is>
      </c>
      <c r="D12" s="70" t="inlineStr">
        <is>
          <t>~€1.900</t>
        </is>
      </c>
      <c r="E12" s="31" t="inlineStr">
        <is>
          <t>vs. €8-10k öffentl. Hochschule</t>
        </is>
      </c>
    </row>
    <row r="13">
      <c r="A13" s="16" t="inlineStr">
        <is>
          <t>Partnervergütung kum. 10 J</t>
        </is>
      </c>
      <c r="B13" s="72" t="inlineStr">
        <is>
          <t>~€2,5M</t>
        </is>
      </c>
      <c r="C13" s="73" t="inlineStr">
        <is>
          <t>~€3,5M</t>
        </is>
      </c>
      <c r="D13" s="72" t="inlineStr">
        <is>
          <t>~€5,0M</t>
        </is>
      </c>
      <c r="E13" s="33" t="inlineStr">
        <is>
          <t>Real zurück an Lehrhochschulen</t>
        </is>
      </c>
    </row>
    <row r="14">
      <c r="A14" s="11" t="inlineStr">
        <is>
          <t>Preis für Studierenden (BA)</t>
        </is>
      </c>
      <c r="B14" s="70" t="inlineStr">
        <is>
          <t>€3.600</t>
        </is>
      </c>
      <c r="C14" s="71" t="inlineStr">
        <is>
          <t>€4.500</t>
        </is>
      </c>
      <c r="D14" s="70" t="inlineStr">
        <is>
          <t>€5.400</t>
        </is>
      </c>
      <c r="E14" s="31" t="inlineStr">
        <is>
          <t>180 ECTS; IU: €14.000-20.000</t>
        </is>
      </c>
    </row>
    <row r="16">
      <c r="A16" s="3" t="inlineStr">
        <is>
          <t>KERNBOTSCHAFT DES MODELLS v3.0</t>
        </is>
      </c>
      <c r="B16" s="4" t="n"/>
      <c r="C16" s="4" t="n"/>
      <c r="D16" s="4" t="n"/>
      <c r="E16" s="5" t="n"/>
    </row>
    <row r="17" ht="32" customHeight="1">
      <c r="A17" s="74" t="inlineStr">
        <is>
          <t xml:space="preserve">  1.  Die OUG ist öffentliche Bildungsinfrastruktur — kein Unternehmen. €20–25/ECTS ist politische Entscheidung, keine Schwäche des Modells.</t>
        </is>
      </c>
    </row>
    <row r="18" ht="32" customHeight="1">
      <c r="A18" s="75" t="inlineStr">
        <is>
          <t xml:space="preserve">  2.  Der Hochschulfinanzierungsvertrag ist kein Bonus, sondern der Normalzustand jeder deutschen Hochschule. Mit HFV ab Jahr 3 ist Break-even in Jahr 4–5 erreichbar.</t>
        </is>
      </c>
    </row>
    <row r="19" ht="32" customHeight="1">
      <c r="A19" s="74" t="inlineStr">
        <is>
          <t xml:space="preserve">  3.  Die neue Dualität: Unternehmen übernehmen institutionelle Mitverantwortung durch Governance-Mitgliedschaft — nicht durch Sponsoring. Das schafft Nachhaltigkeit ohne Abhängigkeit.</t>
        </is>
      </c>
    </row>
    <row r="20" ht="32" customHeight="1">
      <c r="A20" s="75" t="inlineStr">
        <is>
          <t xml:space="preserve">  4.  Alle drei Säulen skalieren: Öffentlich mit Studierendenzahl, Studiengebühren mit Einschreibungen, Industrie mit OUG-Reputation.</t>
        </is>
      </c>
    </row>
    <row r="21" ht="32" customHeight="1">
      <c r="A21" s="74" t="inlineStr">
        <is>
          <t xml:space="preserve">  5.  Was private Anbieter mit €14.000–20.000 für einen Bachelor nehmen, bietet die OUG für €3.600–5.400. Das ist der politische Kern des Arguments für öffentliche Mitfinanzierung.</t>
        </is>
      </c>
    </row>
  </sheetData>
  <mergeCells count="7">
    <mergeCell ref="A21:E21"/>
    <mergeCell ref="A20:E20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2026-03-14T22:25:11Z</dcterms:created>
  <dcterms:modified xmlns:dcterms="http://purl.org/dc/terms/" xmlns:xsi="http://www.w3.org/2001/XMLSchema-instance" xsi:type="dcterms:W3CDTF">2026-03-14T22:25:11Z</dcterms:modified>
</cp:coreProperties>
</file>